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Entropy and Cross Entr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<sst xmlns="http://schemas.openxmlformats.org/spreadsheetml/2006/main" count="13" uniqueCount="11">
  <si>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Y</t>
  </si>
  <si>
    <t>Y'</t>
  </si>
  <si>
    <t>H(Y)</t>
  </si>
  <si>
    <t>H(Y')</t>
  </si>
  <si>
    <t>H(Y,Y')</t>
  </si>
  <si>
    <t>Clases</t>
  </si>
  <si>
    <t>Perro</t>
  </si>
  <si>
    <t>Gato</t>
  </si>
  <si>
    <t>Conejo</t>
  </si>
  <si>
    <t>Zorro</t>
  </si>
  <si>
    <t>(Actual)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</si>
</sst>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DE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3" fillId="6" borderId="0" xfId="0" applyNumberFormat="1" applyFont="1" applyFill="1">
      <alignment vertical="center"/>
    </xf>
    <xf numFmtId="0" fontId="3" fillId="7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DE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553085</xdr:colOff>
      <xdr:row>8</xdr:row>
      <xdr:rowOff>19685</xdr:rowOff>
    </xdr:from>
    <xdr:to>
      <xdr:col>15</xdr:col>
      <xdr:colOff>1268095</xdr:colOff>
      <xdr:row>16</xdr:row>
      <xdr:rowOff>161925</xdr:rowOff>
    </xdr:to>
    <xdr:pic>
      <xdr:nvPicPr>
        <xdr:cNvPr id="2" name="Picture 1" descr="Evaluating model performance using Shannon entropy | Mediu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078085" y="1819910"/>
          <a:ext cx="4963160" cy="18376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1308100</xdr:colOff>
      <xdr:row>2</xdr:row>
      <xdr:rowOff>146685</xdr:rowOff>
    </xdr:from>
    <xdr:to>
      <xdr:col>6</xdr:col>
      <xdr:colOff>1548765</xdr:colOff>
      <xdr:row>7</xdr:row>
      <xdr:rowOff>155575</xdr:rowOff>
    </xdr:to>
    <xdr:sp>
      <xdr:nvSpPr>
        <xdr:cNvPr id="3" name="Rectangles 2"/>
        <xdr:cNvSpPr/>
      </xdr:nvSpPr>
      <xdr:spPr>
        <a:xfrm>
          <a:off x="4356100" y="699135"/>
          <a:ext cx="1831340" cy="10661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indent="457200" algn="l"/>
          <a:r>
            <a:rPr lang="en-US" sz="1100"/>
            <a:t>Neural Network</a:t>
          </a:r>
          <a:endParaRPr lang="en-US" sz="1100"/>
        </a:p>
        <a:p>
          <a:pPr indent="457200" algn="l"/>
          <a:endParaRPr lang="en-US" sz="1100"/>
        </a:p>
        <a:p>
          <a:pPr indent="457200" algn="l"/>
          <a:r>
            <a:rPr lang="en-US" sz="1100"/>
            <a:t>(Hidden Layers)</a:t>
          </a:r>
          <a:endParaRPr lang="en-US" sz="1100"/>
        </a:p>
      </xdr:txBody>
    </xdr:sp>
    <xdr:clientData/>
  </xdr:twoCellAnchor>
  <xdr:twoCellAnchor>
    <xdr:from>
      <xdr:col>7</xdr:col>
      <xdr:colOff>775970</xdr:colOff>
      <xdr:row>0</xdr:row>
      <xdr:rowOff>219710</xdr:rowOff>
    </xdr:from>
    <xdr:to>
      <xdr:col>7</xdr:col>
      <xdr:colOff>1045845</xdr:colOff>
      <xdr:row>1</xdr:row>
      <xdr:rowOff>136525</xdr:rowOff>
    </xdr:to>
    <xdr:sp>
      <xdr:nvSpPr>
        <xdr:cNvPr id="4" name="Oval 3"/>
        <xdr:cNvSpPr/>
      </xdr:nvSpPr>
      <xdr:spPr>
        <a:xfrm>
          <a:off x="7005320" y="219710"/>
          <a:ext cx="269875" cy="278765"/>
        </a:xfrm>
        <a:prstGeom prst="ellipse">
          <a:avLst/>
        </a:prstGeom>
        <a:solidFill>
          <a:schemeClr val="accent2">
            <a:alpha val="11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777240</xdr:colOff>
      <xdr:row>2</xdr:row>
      <xdr:rowOff>50165</xdr:rowOff>
    </xdr:from>
    <xdr:to>
      <xdr:col>7</xdr:col>
      <xdr:colOff>1047115</xdr:colOff>
      <xdr:row>3</xdr:row>
      <xdr:rowOff>138430</xdr:rowOff>
    </xdr:to>
    <xdr:sp>
      <xdr:nvSpPr>
        <xdr:cNvPr id="5" name="Oval 4"/>
        <xdr:cNvSpPr/>
      </xdr:nvSpPr>
      <xdr:spPr>
        <a:xfrm>
          <a:off x="7006590" y="602615"/>
          <a:ext cx="269875" cy="27876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767715</xdr:colOff>
      <xdr:row>4</xdr:row>
      <xdr:rowOff>60960</xdr:rowOff>
    </xdr:from>
    <xdr:to>
      <xdr:col>7</xdr:col>
      <xdr:colOff>1037590</xdr:colOff>
      <xdr:row>5</xdr:row>
      <xdr:rowOff>149225</xdr:rowOff>
    </xdr:to>
    <xdr:sp>
      <xdr:nvSpPr>
        <xdr:cNvPr id="6" name="Oval 5"/>
        <xdr:cNvSpPr/>
      </xdr:nvSpPr>
      <xdr:spPr>
        <a:xfrm>
          <a:off x="6997065" y="994410"/>
          <a:ext cx="269875" cy="278765"/>
        </a:xfrm>
        <a:prstGeom prst="ellipse">
          <a:avLst/>
        </a:prstGeom>
        <a:solidFill>
          <a:schemeClr val="accent2">
            <a:alpha val="9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788670</xdr:colOff>
      <xdr:row>6</xdr:row>
      <xdr:rowOff>28575</xdr:rowOff>
    </xdr:from>
    <xdr:to>
      <xdr:col>7</xdr:col>
      <xdr:colOff>1058545</xdr:colOff>
      <xdr:row>7</xdr:row>
      <xdr:rowOff>116840</xdr:rowOff>
    </xdr:to>
    <xdr:sp>
      <xdr:nvSpPr>
        <xdr:cNvPr id="7" name="Oval 6"/>
        <xdr:cNvSpPr/>
      </xdr:nvSpPr>
      <xdr:spPr>
        <a:xfrm>
          <a:off x="7018020" y="1447800"/>
          <a:ext cx="269875" cy="278765"/>
        </a:xfrm>
        <a:prstGeom prst="ellipse">
          <a:avLst/>
        </a:prstGeom>
        <a:solidFill>
          <a:schemeClr val="accent2">
            <a:alpha val="11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1548130</xdr:colOff>
      <xdr:row>0</xdr:row>
      <xdr:rowOff>358140</xdr:rowOff>
    </xdr:from>
    <xdr:to>
      <xdr:col>7</xdr:col>
      <xdr:colOff>775335</xdr:colOff>
      <xdr:row>5</xdr:row>
      <xdr:rowOff>108585</xdr:rowOff>
    </xdr:to>
    <xdr:cxnSp>
      <xdr:nvCxnSpPr>
        <xdr:cNvPr id="8" name="Straight Arrow Connector 7"/>
        <xdr:cNvCxnSpPr>
          <a:stCxn id="3" idx="3"/>
          <a:endCxn id="4" idx="2"/>
        </xdr:cNvCxnSpPr>
      </xdr:nvCxnSpPr>
      <xdr:spPr>
        <a:xfrm flipV="1">
          <a:off x="6186805" y="358140"/>
          <a:ext cx="817880" cy="8743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1548130</xdr:colOff>
      <xdr:row>2</xdr:row>
      <xdr:rowOff>189865</xdr:rowOff>
    </xdr:from>
    <xdr:to>
      <xdr:col>7</xdr:col>
      <xdr:colOff>776605</xdr:colOff>
      <xdr:row>5</xdr:row>
      <xdr:rowOff>108585</xdr:rowOff>
    </xdr:to>
    <xdr:cxnSp>
      <xdr:nvCxnSpPr>
        <xdr:cNvPr id="9" name="Straight Arrow Connector 8"/>
        <xdr:cNvCxnSpPr>
          <a:stCxn id="3" idx="3"/>
          <a:endCxn id="5" idx="2"/>
        </xdr:cNvCxnSpPr>
      </xdr:nvCxnSpPr>
      <xdr:spPr>
        <a:xfrm flipV="1">
          <a:off x="6186805" y="742315"/>
          <a:ext cx="819150" cy="4902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1548130</xdr:colOff>
      <xdr:row>5</xdr:row>
      <xdr:rowOff>108585</xdr:rowOff>
    </xdr:from>
    <xdr:to>
      <xdr:col>7</xdr:col>
      <xdr:colOff>788035</xdr:colOff>
      <xdr:row>6</xdr:row>
      <xdr:rowOff>167640</xdr:rowOff>
    </xdr:to>
    <xdr:cxnSp>
      <xdr:nvCxnSpPr>
        <xdr:cNvPr id="10" name="Straight Arrow Connector 9"/>
        <xdr:cNvCxnSpPr>
          <a:stCxn id="3" idx="3"/>
          <a:endCxn id="7" idx="2"/>
        </xdr:cNvCxnSpPr>
      </xdr:nvCxnSpPr>
      <xdr:spPr>
        <a:xfrm>
          <a:off x="6186805" y="1232535"/>
          <a:ext cx="830580" cy="3543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1532890</xdr:colOff>
      <xdr:row>5</xdr:row>
      <xdr:rowOff>10160</xdr:rowOff>
    </xdr:from>
    <xdr:to>
      <xdr:col>7</xdr:col>
      <xdr:colOff>767080</xdr:colOff>
      <xdr:row>5</xdr:row>
      <xdr:rowOff>157480</xdr:rowOff>
    </xdr:to>
    <xdr:cxnSp>
      <xdr:nvCxnSpPr>
        <xdr:cNvPr id="11" name="Straight Arrow Connector 10"/>
        <xdr:cNvCxnSpPr>
          <a:endCxn id="6" idx="2"/>
        </xdr:cNvCxnSpPr>
      </xdr:nvCxnSpPr>
      <xdr:spPr>
        <a:xfrm flipV="1">
          <a:off x="6171565" y="1134110"/>
          <a:ext cx="824865" cy="1473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464820</xdr:colOff>
      <xdr:row>4</xdr:row>
      <xdr:rowOff>40640</xdr:rowOff>
    </xdr:from>
    <xdr:to>
      <xdr:col>5</xdr:col>
      <xdr:colOff>1159510</xdr:colOff>
      <xdr:row>6</xdr:row>
      <xdr:rowOff>154305</xdr:rowOff>
    </xdr:to>
    <xdr:sp>
      <xdr:nvSpPr>
        <xdr:cNvPr id="16" name="Right Arrow 15"/>
        <xdr:cNvSpPr/>
      </xdr:nvSpPr>
      <xdr:spPr>
        <a:xfrm>
          <a:off x="2293620" y="974090"/>
          <a:ext cx="1913890" cy="59944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   Feature Vector(X)</a:t>
          </a:r>
          <a:endParaRPr lang="en-US" sz="1100"/>
        </a:p>
      </xdr:txBody>
    </xdr:sp>
    <xdr:clientData/>
  </xdr:twoCellAnchor>
  <xdr:twoCellAnchor editAs="oneCell">
    <xdr:from>
      <xdr:col>0</xdr:col>
      <xdr:colOff>537845</xdr:colOff>
      <xdr:row>2</xdr:row>
      <xdr:rowOff>86360</xdr:rowOff>
    </xdr:from>
    <xdr:to>
      <xdr:col>3</xdr:col>
      <xdr:colOff>312420</xdr:colOff>
      <xdr:row>8</xdr:row>
      <xdr:rowOff>27305</xdr:rowOff>
    </xdr:to>
    <xdr:pic>
      <xdr:nvPicPr>
        <xdr:cNvPr id="12" name="Picture 11" descr="Cuántas expresiones faciales tienen los gatos? El número podría  sorprenderte | National Geographic | National Geographi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845" y="638810"/>
          <a:ext cx="1603375" cy="1188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264795</xdr:colOff>
      <xdr:row>17</xdr:row>
      <xdr:rowOff>170180</xdr:rowOff>
    </xdr:from>
    <xdr:to>
      <xdr:col>15</xdr:col>
      <xdr:colOff>1256030</xdr:colOff>
      <xdr:row>28</xdr:row>
      <xdr:rowOff>115570</xdr:rowOff>
    </xdr:to>
    <xdr:pic>
      <xdr:nvPicPr>
        <xdr:cNvPr id="13" name="Picture 12" descr="Cross Entropy Loss: Intro, Applications, Cod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89795" y="3856355"/>
          <a:ext cx="5239385" cy="2040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P16"/>
  <sheetViews>
    <sheetView tabSelected="1" zoomScale="110" zoomScaleNormal="110" topLeftCell="B1" workbookViewId="0">
      <selection activeCell="L3" sqref="L3"/>
    </sheetView>
  </sheetViews>
  <sheetFormatPr defaultColWidth="9.14285714285714" defaultRowHeight="15"/>
  <cols>
    <col min="6" max="7" width="23.8571428571429"/>
    <col min="8" max="8" width="22"/>
    <col min="12" max="12" width="10.5714285714286"/>
    <col min="14" max="16" width="22"/>
  </cols>
  <sheetData>
    <row r="1" s="1" customFormat="1" ht="28.5" spans="11:16">
      <c r="K1" s="5" t="s">
        <v>0</v>
      </c>
      <c r="L1" s="6" t="s">
        <v>1</v>
      </c>
      <c r="N1" s="5" t="s">
        <v>2</v>
      </c>
      <c r="O1" s="6" t="s">
        <v>3</v>
      </c>
      <c r="P1" s="7" t="s">
        <v>4</v>
      </c>
    </row>
    <row r="2" spans="11:16">
      <c r="K2" s="8">
        <f>F11</f>
        <v>0</v>
      </c>
      <c r="L2" s="9">
        <v>0.01</v>
      </c>
      <c r="N2" s="10">
        <f>IF(K2&lt;&gt;0,K2*LOG(K2,2),0.0000001*LOG(0.0000001,2))</f>
        <v>-2.32534966642115e-6</v>
      </c>
      <c r="O2" s="9">
        <f>L2*LOG(L2,2)</f>
        <v>-0.0664385618977472</v>
      </c>
      <c r="P2" s="11">
        <f>K2*LOG(L2,2)</f>
        <v>0</v>
      </c>
    </row>
    <row r="3" spans="11:16">
      <c r="K3" s="8">
        <f>F12</f>
        <v>1</v>
      </c>
      <c r="L3" s="9">
        <v>0.0005</v>
      </c>
      <c r="N3" s="10">
        <f>IF(K3&lt;&gt;0,K3*LOG(K3,2),0.0000001*LOG(0.0000001,2))</f>
        <v>0</v>
      </c>
      <c r="O3" s="9">
        <f>L3*LOG(L3,2)</f>
        <v>-0.00548289214233104</v>
      </c>
      <c r="P3" s="11">
        <f>K3*LOG(L3,2)</f>
        <v>-10.9657842846621</v>
      </c>
    </row>
    <row r="4" spans="11:16">
      <c r="K4" s="8">
        <f>F13</f>
        <v>0</v>
      </c>
      <c r="L4" s="9">
        <v>0.005</v>
      </c>
      <c r="N4" s="10">
        <f>IF(K4&lt;&gt;0,K4*LOG(K4,2),0.0000001*LOG(0.0000001,2))</f>
        <v>-2.32534966642115e-6</v>
      </c>
      <c r="O4" s="9">
        <f>L4*LOG(L4,2)</f>
        <v>-0.0382192809488736</v>
      </c>
      <c r="P4" s="11">
        <f>K4*LOG(L4,2)</f>
        <v>0</v>
      </c>
    </row>
    <row r="5" spans="11:16">
      <c r="K5" s="8">
        <f>F14</f>
        <v>0</v>
      </c>
      <c r="L5" s="9">
        <v>0.98</v>
      </c>
      <c r="N5" s="10">
        <f>IF(K5&lt;&gt;0,K5*LOG(K5,2),0.0000001*LOG(0.0000001,2))</f>
        <v>-2.32534966642115e-6</v>
      </c>
      <c r="O5" s="9">
        <f>L5*LOG(L5,2)</f>
        <v>-0.0285634187463262</v>
      </c>
      <c r="P5" s="11">
        <f>K5*LOG(L5,2)</f>
        <v>0</v>
      </c>
    </row>
    <row r="6" ht="23.25" spans="14:16">
      <c r="N6" s="12">
        <f>SUM(N2:N5)*-1</f>
        <v>6.97604899926346e-6</v>
      </c>
      <c r="O6" s="12">
        <f>SUM(O2:O5)*-1</f>
        <v>0.138704153735278</v>
      </c>
      <c r="P6" s="13">
        <f>SUM(P2:P5)*-1</f>
        <v>10.9657842846621</v>
      </c>
    </row>
    <row r="9" spans="9:9">
      <c r="I9" s="9">
        <v>0.01</v>
      </c>
    </row>
    <row r="10" ht="28.5" spans="5:9">
      <c r="E10" s="1" t="s">
        <v>5</v>
      </c>
      <c r="F10" s="2" t="s">
        <v>0</v>
      </c>
      <c r="H10" s="3" t="s">
        <v>1</v>
      </c>
      <c r="I10" s="9">
        <v>0.98</v>
      </c>
    </row>
    <row r="11" spans="5:9">
      <c r="E11" t="s">
        <v>6</v>
      </c>
      <c r="F11" s="4">
        <v>0</v>
      </c>
      <c r="I11" s="9">
        <v>0.005</v>
      </c>
    </row>
    <row r="12" spans="5:9">
      <c r="E12" t="s">
        <v>7</v>
      </c>
      <c r="F12" s="4">
        <v>1</v>
      </c>
      <c r="I12" s="9">
        <v>0.005</v>
      </c>
    </row>
    <row r="13" spans="5:6">
      <c r="E13" t="s">
        <v>8</v>
      </c>
      <c r="F13" s="4">
        <v>0</v>
      </c>
    </row>
    <row r="14" spans="5:6">
      <c r="E14" t="s">
        <v>9</v>
      </c>
      <c r="F14" s="4">
        <v>0</v>
      </c>
    </row>
    <row r="16" spans="6:6">
      <c r="F16" t="s">
        <v>10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Entropy and Cross Entropy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edwyn</dc:creator>
  <cp:lastModifiedBy>google1589398464</cp:lastModifiedBy>
  <dcterms:created xsi:type="dcterms:W3CDTF">2023-02-27T19:13:00Z</dcterms:created>
  <dcterms:modified xsi:type="dcterms:W3CDTF">2026-01-30T01:13:24Z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7446006330234CB482D36C9533A85AB0_13</vt:lpwstr>
  </property>
  <property fmtid="{D5CDD505-2E9C-101B-9397-08002B2CF9AE}" pid="3" name="KSOProductBuildVer">
    <vt:lpwstr>1033-12.2.0.23196</vt:lpwstr>
  </property>
</Properties>
</file>